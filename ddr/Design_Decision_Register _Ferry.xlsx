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benezeramoako\NEW\dmtrackers\ddr\"/>
    </mc:Choice>
  </mc:AlternateContent>
  <xr:revisionPtr revIDLastSave="0" documentId="8_{5334E12E-1CAD-4B0D-81CC-671AAAEDC96E}" xr6:coauthVersionLast="47" xr6:coauthVersionMax="47" xr10:uidLastSave="{00000000-0000-0000-0000-000000000000}"/>
  <bookViews>
    <workbookView xWindow="-120" yWindow="-120" windowWidth="29040" windowHeight="17520" xr2:uid="{0BDD5F40-62C4-4045-9C4E-8667D1F7CA36}"/>
  </bookViews>
  <sheets>
    <sheet name="Decisions Register" sheetId="1" r:id="rId1"/>
    <sheet name="Data Sheet" sheetId="2" r:id="rId2"/>
  </sheets>
  <definedNames>
    <definedName name="_xlnm.Print_Area" localSheetId="0">'Decisions Register'!$A$1:$Y$27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14" i="1" l="1"/>
  <c r="V14" i="1"/>
  <c r="U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Themis Kourtellas</author>
  </authors>
  <commentList>
    <comment ref="J14" authorId="0" shapeId="0" xr:uid="{F32ABBD1-A365-4398-8E2F-D9CAC629E8A4}">
      <text>
        <r>
          <rPr>
            <b/>
            <sz val="9"/>
            <color indexed="81"/>
            <rFont val="Tahoma"/>
            <family val="2"/>
          </rPr>
          <t xml:space="preserve">Themis Kourtellas:
</t>
        </r>
        <r>
          <rPr>
            <sz val="9"/>
            <color indexed="81"/>
            <rFont val="Tahoma"/>
            <family val="2"/>
          </rPr>
          <t>Select from Drop down list only - Add in sheet 2 list other party/local authority involved</t>
        </r>
      </text>
    </comment>
    <comment ref="K14" authorId="0" shapeId="0" xr:uid="{FBEE8B66-965D-482B-B05B-AF2A8C8C5D86}">
      <text>
        <r>
          <rPr>
            <b/>
            <sz val="9"/>
            <color indexed="81"/>
            <rFont val="Tahoma"/>
            <family val="2"/>
          </rPr>
          <t>Themis Kourtellas:</t>
        </r>
        <r>
          <rPr>
            <sz val="9"/>
            <color indexed="81"/>
            <rFont val="Tahoma"/>
            <family val="2"/>
          </rPr>
          <t xml:space="preserve">
Select from Drop down list only - Add in sheet 2 list other party/local authority involved</t>
        </r>
      </text>
    </comment>
  </commentList>
</comments>
</file>

<file path=xl/sharedStrings.xml><?xml version="1.0" encoding="utf-8"?>
<sst xmlns="http://schemas.openxmlformats.org/spreadsheetml/2006/main" count="70" uniqueCount="66">
  <si>
    <t>Ref</t>
  </si>
  <si>
    <t xml:space="preserve">Description of Decision (What / Why) </t>
  </si>
  <si>
    <t>No</t>
  </si>
  <si>
    <t>YES</t>
  </si>
  <si>
    <t>NO</t>
  </si>
  <si>
    <t>Efficiency Gained</t>
  </si>
  <si>
    <t>Ranking</t>
  </si>
  <si>
    <t>YES - Positively</t>
  </si>
  <si>
    <t>Yes - Negatively</t>
  </si>
  <si>
    <t>Score</t>
  </si>
  <si>
    <t>Good</t>
  </si>
  <si>
    <t>Neutral</t>
  </si>
  <si>
    <t>Negative Impact</t>
  </si>
  <si>
    <t>Main Contractor</t>
  </si>
  <si>
    <t>Local Authority</t>
  </si>
  <si>
    <t>Date</t>
  </si>
  <si>
    <t>Record of Agreement 
(email, meeting, etc.)</t>
  </si>
  <si>
    <t>N/A</t>
  </si>
  <si>
    <t>UU AMP8 FRAMEWORK - DD&amp;B</t>
  </si>
  <si>
    <t>United Utilities</t>
  </si>
  <si>
    <t>ARUP</t>
  </si>
  <si>
    <t>HBT</t>
  </si>
  <si>
    <t>MAE</t>
  </si>
  <si>
    <t xml:space="preserve">1002-001848 - UU DD&amp;B FLASS LANE </t>
  </si>
  <si>
    <t>OTB</t>
  </si>
  <si>
    <t>Stage</t>
  </si>
  <si>
    <t>SCHEME DECISION REGISTER</t>
  </si>
  <si>
    <t>Basis of Decision</t>
  </si>
  <si>
    <t>Supporting Information</t>
  </si>
  <si>
    <t>Accountable</t>
  </si>
  <si>
    <t>Responsible</t>
  </si>
  <si>
    <t>Murphy</t>
  </si>
  <si>
    <t>Programme Impact</t>
  </si>
  <si>
    <t>Meeting No.</t>
  </si>
  <si>
    <t>Context / Background</t>
  </si>
  <si>
    <t>Status</t>
  </si>
  <si>
    <t>Approved</t>
  </si>
  <si>
    <t>Design Freeze Impact</t>
  </si>
  <si>
    <t>Delivery Owner</t>
  </si>
  <si>
    <t>Stakeholders</t>
  </si>
  <si>
    <t>Parties Consulted</t>
  </si>
  <si>
    <t>(Y / N)</t>
  </si>
  <si>
    <t xml:space="preserve">Delay </t>
  </si>
  <si>
    <t>(Days / Weeks)</t>
  </si>
  <si>
    <t>Cost Impact</t>
  </si>
  <si>
    <t>(£ or Range)</t>
  </si>
  <si>
    <t>Impact Type</t>
  </si>
  <si>
    <t>Actions</t>
  </si>
  <si>
    <t>Due Date</t>
  </si>
  <si>
    <t>Actions / Follow-ups</t>
  </si>
  <si>
    <t>Decision Owner</t>
  </si>
  <si>
    <t>Yes</t>
  </si>
  <si>
    <t>Positive</t>
  </si>
  <si>
    <t>DR-001</t>
  </si>
  <si>
    <t>Outline Design</t>
  </si>
  <si>
    <t>Initial site constraints identified limited available footprint for new storm tanks. Ground investigation indicates high groundwater levels and poor bearing capacity, increasing construction complexity and cost risk for large in-situ concrete tanks.</t>
  </si>
  <si>
    <t>Adopt precast above-ground storm attenuation tanks instead of below-ground in-situ reinforced concrete tanks to reduce construction risk, improve programme certainty, and minimise excavation in poor ground conditions.</t>
  </si>
  <si>
    <t>Basis of Decision:
Optioneering study, ground investigation results, cost plan comparison, programme risk assessment.
Supporting Information:
GI Report Rev A, Cost Estimate (Option 1 vs Option 2), Design Risk Assessment, Buildability Workshop outputs.</t>
  </si>
  <si>
    <t>Outline Design Review Meeting Minutes – 12/05/2026</t>
  </si>
  <si>
    <t>Pre-freeze</t>
  </si>
  <si>
    <t>Improved constructability, reduced excavation, lower temporary works requirement, reduced groundwater management.</t>
  </si>
  <si>
    <t>1. Develop preliminary layout and GA drawings for above-ground tanks
2. Confirm structural design approach with precast supplier
3. Update cost plan and programme
4. Update risk register and mitigation measures</t>
  </si>
  <si>
    <t>Additional £35k (about 300-400 design hours) increase in design effort due to alternative solution requiring revised layouts, multidisciplinary coordination, and supplier engagement; justified by improved buildability and reduced design risk</t>
  </si>
  <si>
    <t>PROJECT</t>
  </si>
  <si>
    <t>PROJECT CODE</t>
  </si>
  <si>
    <t>0 weeks (programme risk reduced; approx. 2 weeks float improvement)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</si>
</sst>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22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6"/>
      <name val="Arial"/>
      <family val="2"/>
    </font>
    <font>
      <sz val="11"/>
      <name val="Times New Roman"/>
      <family val="1"/>
    </font>
    <font>
      <b/>
      <sz val="26"/>
      <color theme="0" tint="-0.499984740745262"/>
      <name val="Arial"/>
      <family val="2"/>
    </font>
    <font>
      <b/>
      <sz val="11"/>
      <color indexed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56"/>
      <name val="Arial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b/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9" tint="0.39997558519241921"/>
        <bgColor indexed="64"/>
      </patternFill>
    </fill>
  </fills>
  <borders count="3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indexed="64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ck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ck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ck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ck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ck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ck">
        <color auto="1"/>
      </bottom>
      <diagonal/>
    </border>
    <border>
      <left style="thin">
        <color theme="0" tint="-0.34998626667073579"/>
      </left>
      <right/>
      <top style="medium">
        <color indexed="64"/>
      </top>
      <bottom/>
      <diagonal/>
    </border>
    <border>
      <left/>
      <right style="thin">
        <color theme="0" tint="-0.34998626667073579"/>
      </right>
      <top style="medium">
        <color indexed="64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ck">
        <color auto="1"/>
      </bottom>
      <diagonal/>
    </border>
    <border>
      <left/>
      <right style="thin">
        <color theme="0" tint="-0.34998626667073579"/>
      </right>
      <top/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theme="0" tint="-0.34998626667073579"/>
      </left>
      <right style="thick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ck">
        <color theme="0" tint="-0.34998626667073579"/>
      </right>
      <top/>
      <bottom style="thick">
        <color auto="1"/>
      </bottom>
      <diagonal/>
    </border>
    <border>
      <left/>
      <right style="thick">
        <color theme="0" tint="-0.34998626667073579"/>
      </right>
      <top style="medium">
        <color indexed="64"/>
      </top>
      <bottom/>
      <diagonal/>
    </border>
    <border>
      <left/>
      <right style="thick">
        <color theme="0" tint="-0.34998626667073579"/>
      </right>
      <top/>
      <bottom style="thin">
        <color theme="0" tint="-0.34998626667073579"/>
      </bottom>
      <diagonal/>
    </border>
  </borders>
  <cellStyleXfs count="6">
    <xf numFmtId="0" fontId="0" fillId="0" borderId="0"/>
    <xf numFmtId="0" fontId="1" fillId="0" borderId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7" fillId="0" borderId="0" applyNumberFormat="0" applyFill="0" applyBorder="0" applyAlignment="0" applyProtection="0"/>
  </cellStyleXfs>
  <cellXfs count="122">
    <xf numFmtId="0" fontId="0" fillId="0" borderId="0" xfId="0"/>
    <xf numFmtId="0" fontId="3" fillId="2" borderId="2" xfId="1" applyFont="1" applyFill="1" applyBorder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9" fillId="3" borderId="0" xfId="2"/>
    <xf numFmtId="0" fontId="11" fillId="5" borderId="0" xfId="4"/>
    <xf numFmtId="0" fontId="10" fillId="4" borderId="0" xfId="3"/>
    <xf numFmtId="0" fontId="16" fillId="0" borderId="0" xfId="0" applyFont="1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14" fillId="0" borderId="6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left" vertical="center" wrapText="1"/>
    </xf>
    <xf numFmtId="0" fontId="14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vertical="center" wrapText="1"/>
    </xf>
    <xf numFmtId="0" fontId="16" fillId="0" borderId="6" xfId="0" applyFont="1" applyBorder="1" applyAlignment="1">
      <alignment vertical="center"/>
    </xf>
    <xf numFmtId="164" fontId="16" fillId="0" borderId="6" xfId="0" applyNumberFormat="1" applyFont="1" applyBorder="1" applyAlignment="1">
      <alignment horizontal="center" vertical="center" wrapText="1"/>
    </xf>
    <xf numFmtId="0" fontId="16" fillId="0" borderId="6" xfId="0" applyFont="1" applyBorder="1" applyAlignment="1">
      <alignment vertical="center" wrapText="1"/>
    </xf>
    <xf numFmtId="0" fontId="18" fillId="0" borderId="0" xfId="5" applyFont="1" applyAlignment="1">
      <alignment vertical="center" wrapText="1"/>
    </xf>
    <xf numFmtId="0" fontId="3" fillId="2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6" fillId="6" borderId="3" xfId="1" applyFont="1" applyFill="1" applyBorder="1" applyAlignment="1" applyProtection="1">
      <alignment horizontal="center" vertical="center"/>
      <protection locked="0"/>
    </xf>
    <xf numFmtId="15" fontId="8" fillId="6" borderId="3" xfId="1" applyNumberFormat="1" applyFont="1" applyFill="1" applyBorder="1" applyAlignment="1">
      <alignment horizontal="left" vertical="center"/>
    </xf>
    <xf numFmtId="0" fontId="3" fillId="6" borderId="3" xfId="1" applyFont="1" applyFill="1" applyBorder="1" applyAlignment="1">
      <alignment horizontal="center" vertical="center"/>
    </xf>
    <xf numFmtId="0" fontId="3" fillId="6" borderId="4" xfId="1" applyFont="1" applyFill="1" applyBorder="1" applyAlignment="1">
      <alignment horizontal="center" vertical="center"/>
    </xf>
    <xf numFmtId="2" fontId="5" fillId="6" borderId="0" xfId="1" applyNumberFormat="1" applyFont="1" applyFill="1" applyAlignment="1" applyProtection="1">
      <alignment horizontal="left" vertical="center"/>
      <protection locked="0"/>
    </xf>
    <xf numFmtId="0" fontId="6" fillId="6" borderId="0" xfId="1" applyFont="1" applyFill="1" applyAlignment="1" applyProtection="1">
      <alignment vertical="center"/>
      <protection locked="0"/>
    </xf>
    <xf numFmtId="0" fontId="6" fillId="6" borderId="0" xfId="1" applyFont="1" applyFill="1" applyAlignment="1" applyProtection="1">
      <alignment horizontal="center" vertical="center"/>
      <protection locked="0"/>
    </xf>
    <xf numFmtId="0" fontId="7" fillId="6" borderId="0" xfId="1" applyFont="1" applyFill="1" applyAlignment="1" applyProtection="1">
      <alignment horizontal="center" vertical="center"/>
      <protection locked="0"/>
    </xf>
    <xf numFmtId="0" fontId="6" fillId="6" borderId="0" xfId="1" applyFont="1" applyFill="1" applyAlignment="1">
      <alignment horizontal="center" vertical="center"/>
    </xf>
    <xf numFmtId="0" fontId="6" fillId="6" borderId="0" xfId="1" applyFont="1" applyFill="1" applyAlignment="1">
      <alignment horizontal="left" vertical="center"/>
    </xf>
    <xf numFmtId="0" fontId="7" fillId="6" borderId="0" xfId="1" applyFont="1" applyFill="1" applyAlignment="1">
      <alignment horizontal="center" vertical="center"/>
    </xf>
    <xf numFmtId="0" fontId="0" fillId="6" borderId="0" xfId="0" applyFill="1"/>
    <xf numFmtId="0" fontId="3" fillId="6" borderId="0" xfId="1" applyFont="1" applyFill="1" applyAlignment="1">
      <alignment horizontal="center" vertical="center"/>
    </xf>
    <xf numFmtId="2" fontId="7" fillId="6" borderId="12" xfId="1" applyNumberFormat="1" applyFont="1" applyFill="1" applyBorder="1" applyAlignment="1" applyProtection="1">
      <alignment horizontal="right" vertical="center"/>
      <protection locked="0"/>
    </xf>
    <xf numFmtId="2" fontId="7" fillId="6" borderId="3" xfId="1" applyNumberFormat="1" applyFont="1" applyFill="1" applyBorder="1" applyAlignment="1" applyProtection="1">
      <alignment horizontal="right" vertical="center"/>
      <protection locked="0"/>
    </xf>
    <xf numFmtId="0" fontId="8" fillId="6" borderId="3" xfId="1" applyFont="1" applyFill="1" applyBorder="1" applyAlignment="1" applyProtection="1">
      <alignment horizontal="left" vertical="center"/>
      <protection locked="0"/>
    </xf>
    <xf numFmtId="15" fontId="8" fillId="6" borderId="3" xfId="1" applyNumberFormat="1" applyFont="1" applyFill="1" applyBorder="1" applyAlignment="1" applyProtection="1">
      <alignment horizontal="left" vertical="center"/>
      <protection locked="0"/>
    </xf>
    <xf numFmtId="0" fontId="7" fillId="6" borderId="3" xfId="1" applyFont="1" applyFill="1" applyBorder="1" applyAlignment="1">
      <alignment horizontal="left" vertical="center"/>
    </xf>
    <xf numFmtId="0" fontId="4" fillId="2" borderId="13" xfId="1" applyFont="1" applyFill="1" applyBorder="1" applyAlignment="1">
      <alignment horizontal="right" vertical="center"/>
    </xf>
    <xf numFmtId="0" fontId="3" fillId="6" borderId="14" xfId="1" applyFont="1" applyFill="1" applyBorder="1" applyAlignment="1">
      <alignment horizontal="center" vertical="center"/>
    </xf>
    <xf numFmtId="0" fontId="3" fillId="6" borderId="13" xfId="1" applyFont="1" applyFill="1" applyBorder="1" applyAlignment="1">
      <alignment horizontal="center" vertical="center"/>
    </xf>
    <xf numFmtId="0" fontId="3" fillId="6" borderId="11" xfId="1" applyFont="1" applyFill="1" applyBorder="1" applyAlignment="1">
      <alignment horizontal="center" vertical="center"/>
    </xf>
    <xf numFmtId="0" fontId="0" fillId="6" borderId="11" xfId="0" applyFill="1" applyBorder="1"/>
    <xf numFmtId="0" fontId="0" fillId="6" borderId="1" xfId="0" applyFill="1" applyBorder="1"/>
    <xf numFmtId="0" fontId="3" fillId="6" borderId="12" xfId="1" applyFont="1" applyFill="1" applyBorder="1" applyAlignment="1">
      <alignment horizontal="center" vertical="center"/>
    </xf>
    <xf numFmtId="2" fontId="2" fillId="2" borderId="14" xfId="1" applyNumberFormat="1" applyFont="1" applyFill="1" applyBorder="1" applyAlignment="1">
      <alignment vertical="center" wrapText="1"/>
    </xf>
    <xf numFmtId="2" fontId="2" fillId="2" borderId="2" xfId="1" applyNumberFormat="1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/>
    </xf>
    <xf numFmtId="0" fontId="3" fillId="2" borderId="2" xfId="1" applyFont="1" applyFill="1" applyBorder="1" applyAlignment="1">
      <alignment horizontal="left" vertical="center"/>
    </xf>
    <xf numFmtId="164" fontId="16" fillId="0" borderId="0" xfId="0" applyNumberFormat="1" applyFont="1" applyAlignment="1">
      <alignment horizontal="center" vertical="center" wrapText="1"/>
    </xf>
    <xf numFmtId="0" fontId="14" fillId="0" borderId="7" xfId="0" applyFont="1" applyBorder="1" applyAlignment="1">
      <alignment horizontal="left" vertical="center" wrapText="1"/>
    </xf>
    <xf numFmtId="0" fontId="7" fillId="6" borderId="0" xfId="1" applyFont="1" applyFill="1" applyAlignment="1" applyProtection="1">
      <alignment horizontal="left" vertical="center"/>
      <protection locked="0"/>
    </xf>
    <xf numFmtId="0" fontId="7" fillId="6" borderId="0" xfId="1" applyFont="1" applyFill="1" applyAlignment="1" applyProtection="1">
      <alignment horizontal="left" vertical="center" indent="3"/>
      <protection locked="0"/>
    </xf>
    <xf numFmtId="2" fontId="7" fillId="6" borderId="0" xfId="1" applyNumberFormat="1" applyFont="1" applyFill="1" applyAlignment="1" applyProtection="1">
      <alignment horizontal="left" vertical="center" indent="1"/>
      <protection locked="0"/>
    </xf>
    <xf numFmtId="2" fontId="7" fillId="6" borderId="0" xfId="1" applyNumberFormat="1" applyFont="1" applyFill="1" applyAlignment="1" applyProtection="1">
      <alignment vertical="center"/>
      <protection locked="0"/>
    </xf>
    <xf numFmtId="0" fontId="0" fillId="6" borderId="0" xfId="0" applyFill="1" applyAlignment="1">
      <alignment vertical="center"/>
    </xf>
    <xf numFmtId="2" fontId="5" fillId="6" borderId="11" xfId="1" applyNumberFormat="1" applyFont="1" applyFill="1" applyBorder="1" applyAlignment="1" applyProtection="1">
      <alignment horizontal="left" vertical="center"/>
      <protection locked="0"/>
    </xf>
    <xf numFmtId="2" fontId="7" fillId="6" borderId="11" xfId="1" applyNumberFormat="1" applyFont="1" applyFill="1" applyBorder="1" applyAlignment="1" applyProtection="1">
      <alignment horizontal="left" vertical="center" indent="1"/>
      <protection locked="0"/>
    </xf>
    <xf numFmtId="0" fontId="0" fillId="6" borderId="4" xfId="0" applyFill="1" applyBorder="1"/>
    <xf numFmtId="0" fontId="3" fillId="6" borderId="2" xfId="1" applyFont="1" applyFill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vertical="center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left" vertical="center" wrapText="1"/>
    </xf>
    <xf numFmtId="14" fontId="14" fillId="0" borderId="7" xfId="0" applyNumberFormat="1" applyFont="1" applyBorder="1" applyAlignment="1">
      <alignment horizontal="left" vertical="center" wrapText="1"/>
    </xf>
    <xf numFmtId="164" fontId="14" fillId="0" borderId="7" xfId="0" applyNumberFormat="1" applyFont="1" applyBorder="1" applyAlignment="1">
      <alignment horizontal="left" vertical="center" wrapText="1"/>
    </xf>
    <xf numFmtId="0" fontId="14" fillId="0" borderId="7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0" fillId="6" borderId="8" xfId="0" applyFill="1" applyBorder="1" applyAlignment="1">
      <alignment vertical="center"/>
    </xf>
    <xf numFmtId="0" fontId="7" fillId="6" borderId="8" xfId="1" applyFont="1" applyFill="1" applyBorder="1" applyAlignment="1" applyProtection="1">
      <alignment horizontal="center" vertical="center"/>
      <protection locked="0"/>
    </xf>
    <xf numFmtId="0" fontId="15" fillId="0" borderId="21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7" fillId="6" borderId="27" xfId="1" applyFont="1" applyFill="1" applyBorder="1" applyAlignment="1" applyProtection="1">
      <alignment horizontal="left" vertical="center"/>
      <protection locked="0"/>
    </xf>
    <xf numFmtId="0" fontId="0" fillId="0" borderId="28" xfId="0" applyBorder="1" applyAlignment="1">
      <alignment vertical="center"/>
    </xf>
    <xf numFmtId="0" fontId="15" fillId="0" borderId="9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2" fontId="7" fillId="6" borderId="34" xfId="1" applyNumberFormat="1" applyFont="1" applyFill="1" applyBorder="1" applyAlignment="1" applyProtection="1">
      <alignment horizontal="left" vertical="center" indent="1"/>
      <protection locked="0"/>
    </xf>
    <xf numFmtId="0" fontId="0" fillId="0" borderId="29" xfId="0" applyBorder="1" applyAlignment="1">
      <alignment horizontal="left" vertical="center" indent="1"/>
    </xf>
    <xf numFmtId="0" fontId="0" fillId="0" borderId="10" xfId="0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15" fillId="0" borderId="32" xfId="0" applyFont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2" fontId="20" fillId="6" borderId="14" xfId="1" applyNumberFormat="1" applyFont="1" applyFill="1" applyBorder="1" applyAlignment="1">
      <alignment vertical="center" wrapText="1"/>
    </xf>
    <xf numFmtId="0" fontId="21" fillId="0" borderId="2" xfId="0" applyFont="1" applyBorder="1"/>
    <xf numFmtId="0" fontId="21" fillId="0" borderId="13" xfId="0" applyFont="1" applyBorder="1"/>
    <xf numFmtId="0" fontId="21" fillId="0" borderId="11" xfId="0" applyFont="1" applyBorder="1"/>
    <xf numFmtId="0" fontId="21" fillId="0" borderId="0" xfId="0" applyFont="1"/>
    <xf numFmtId="0" fontId="21" fillId="0" borderId="1" xfId="0" applyFont="1" applyBorder="1"/>
    <xf numFmtId="0" fontId="21" fillId="0" borderId="12" xfId="0" applyFont="1" applyBorder="1"/>
    <xf numFmtId="0" fontId="21" fillId="0" borderId="3" xfId="0" applyFont="1" applyBorder="1"/>
    <xf numFmtId="0" fontId="21" fillId="0" borderId="4" xfId="0" applyFont="1" applyBorder="1"/>
    <xf numFmtId="0" fontId="0" fillId="0" borderId="7" xfId="0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5" fillId="0" borderId="35" xfId="0" applyFont="1" applyBorder="1" applyAlignment="1">
      <alignment horizontal="center" vertical="center" wrapText="1"/>
    </xf>
    <xf numFmtId="0" fontId="0" fillId="0" borderId="36" xfId="0" applyBorder="1" applyAlignment="1">
      <alignment horizontal="center" vertical="center"/>
    </xf>
    <xf numFmtId="0" fontId="15" fillId="0" borderId="10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</cellXfs>
  <cellStyles count="6">
    <cellStyle name="Bad" xfId="3" builtinId="27"/>
    <cellStyle name="Good" xfId="2" builtinId="26"/>
    <cellStyle name="Hyperlink" xfId="5" builtinId="8"/>
    <cellStyle name="Neutral" xfId="4" builtinId="28"/>
    <cellStyle name="Normal" xfId="0" builtinId="0"/>
    <cellStyle name="Normal_CMF Risk Register" xfId="1" xr:uid="{8197F008-3659-4F1C-8D1E-B346273F7D87}"/>
  </cellStyles>
  <dxfs count="12"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 patternType="solid">
          <fgColor auto="1"/>
          <bgColor rgb="FFFF6161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FF0000"/>
      </font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FFC000"/>
      </font>
    </dxf>
    <dxf>
      <font>
        <color rgb="FF00B050"/>
      </font>
    </dxf>
  </dxfs>
  <tableStyles count="0" defaultTableStyle="TableStyleMedium2" defaultPivotStyle="PivotStyleLight16"/>
  <colors>
    <mruColors>
      <color rgb="FFFF6161"/>
      <color rgb="FFFF7171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19050</xdr:colOff>
      <xdr:row>2</xdr:row>
      <xdr:rowOff>104775</xdr:rowOff>
    </xdr:from>
    <xdr:to>
      <xdr:col>24</xdr:col>
      <xdr:colOff>132541</xdr:colOff>
      <xdr:row>7</xdr:row>
      <xdr:rowOff>123825</xdr:rowOff>
    </xdr:to>
    <xdr:pic>
      <xdr:nvPicPr>
        <xdr:cNvPr id="3" name="Picture 2" descr="Murphy Group : Global Pipeline Solutions in an Ever-Changing Landscape">
          <a:extLst>
            <a:ext uri="{FF2B5EF4-FFF2-40B4-BE49-F238E27FC236}">
              <a16:creationId xmlns:a16="http://schemas.microsoft.com/office/drawing/2014/main" id="{DF09D8C0-FC7B-514B-831E-82C19BB4E9B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667" b="26876"/>
        <a:stretch>
          <a:fillRect/>
        </a:stretch>
      </xdr:blipFill>
      <xdr:spPr bwMode="auto">
        <a:xfrm>
          <a:off x="30699075" y="733425"/>
          <a:ext cx="3171016" cy="1104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F4706-4DF2-4A46-856D-9E8FED6649C4}">
  <sheetPr>
    <pageSetUpPr fitToPage="1"/>
  </sheetPr>
  <dimension ref="A1:Y53"/>
  <sheetViews>
    <sheetView tabSelected="1" zoomScaleNormal="100" zoomScaleSheetLayoutView="55" zoomScalePageLayoutView="85" workbookViewId="0">
      <pane xSplit="6" ySplit="13" topLeftCell="P14" activePane="bottomRight" state="frozen"/>
      <selection activeCell="B8" sqref="B8"/>
      <selection pane="topRight" activeCell="B8" sqref="B8"/>
      <selection pane="bottomLeft" activeCell="B8" sqref="B8"/>
      <selection pane="bottomRight" activeCell="F22" sqref="F22"/>
    </sheetView>
  </sheetViews>
  <sheetFormatPr defaultRowHeight="15" x14ac:dyDescent="0.25"/>
  <cols>
    <col min="2" max="2" width="14.5703125" customWidth="1"/>
    <col min="3" max="4" width="12.7109375" customWidth="1"/>
    <col min="5" max="5" width="45.85546875" customWidth="1"/>
    <col min="6" max="6" width="52.28515625" customWidth="1"/>
    <col min="7" max="7" width="51.140625" customWidth="1"/>
    <col min="8" max="9" width="34.140625" customWidth="1"/>
    <col min="10" max="10" width="9.85546875" customWidth="1"/>
    <col min="12" max="12" width="42.85546875" customWidth="1"/>
    <col min="13" max="14" width="16.85546875" customWidth="1"/>
    <col min="15" max="15" width="22" customWidth="1"/>
    <col min="16" max="16" width="27.42578125" customWidth="1"/>
    <col min="17" max="17" width="36.42578125" customWidth="1"/>
    <col min="18" max="18" width="14.140625" customWidth="1"/>
    <col min="19" max="19" width="30.5703125" customWidth="1"/>
    <col min="20" max="20" width="20" customWidth="1"/>
    <col min="21" max="21" width="8.140625" customWidth="1"/>
    <col min="22" max="22" width="10.140625" customWidth="1"/>
    <col min="23" max="23" width="15.140625" bestFit="1" customWidth="1"/>
    <col min="24" max="24" width="30.7109375" customWidth="1"/>
    <col min="25" max="25" width="17.85546875" customWidth="1"/>
  </cols>
  <sheetData>
    <row r="1" spans="1:25" ht="34.5" thickBot="1" x14ac:dyDescent="0.3">
      <c r="A1" s="45"/>
      <c r="B1" s="46"/>
      <c r="C1" s="46"/>
      <c r="D1" s="46"/>
      <c r="E1" s="46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8"/>
      <c r="S1" s="48"/>
      <c r="T1" s="1"/>
      <c r="U1" s="18"/>
      <c r="V1" s="18"/>
      <c r="W1" s="18"/>
      <c r="X1" s="18"/>
      <c r="Y1" s="38"/>
    </row>
    <row r="2" spans="1:25" x14ac:dyDescent="0.25">
      <c r="A2" s="96" t="s">
        <v>26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8"/>
      <c r="W2" s="39"/>
      <c r="X2" s="59"/>
      <c r="Y2" s="40"/>
    </row>
    <row r="3" spans="1:25" ht="20.25" customHeight="1" x14ac:dyDescent="0.25">
      <c r="A3" s="99"/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1"/>
      <c r="W3" s="41"/>
      <c r="X3" s="32"/>
      <c r="Y3" s="19"/>
    </row>
    <row r="4" spans="1:25" ht="20.25" customHeight="1" thickBot="1" x14ac:dyDescent="0.3">
      <c r="A4" s="102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4"/>
      <c r="W4" s="41"/>
      <c r="X4" s="32"/>
      <c r="Y4" s="19"/>
    </row>
    <row r="5" spans="1:25" x14ac:dyDescent="0.25">
      <c r="A5" s="56"/>
      <c r="B5" s="24"/>
      <c r="C5" s="24"/>
      <c r="D5" s="24"/>
      <c r="E5" s="24"/>
      <c r="F5" s="25"/>
      <c r="G5" s="26"/>
      <c r="H5" s="26"/>
      <c r="I5" s="26"/>
      <c r="J5" s="28"/>
      <c r="K5" s="29"/>
      <c r="L5" s="27"/>
      <c r="M5" s="27"/>
      <c r="N5" s="27"/>
      <c r="O5" s="27"/>
      <c r="P5" s="27"/>
      <c r="Q5" s="27"/>
      <c r="R5" s="30"/>
      <c r="S5" s="30"/>
      <c r="T5" s="31"/>
      <c r="U5" s="31"/>
      <c r="V5" s="43"/>
      <c r="W5" s="42"/>
      <c r="X5" s="31"/>
      <c r="Y5" s="43"/>
    </row>
    <row r="6" spans="1:25" x14ac:dyDescent="0.25">
      <c r="A6" s="82" t="s">
        <v>63</v>
      </c>
      <c r="B6" s="83"/>
      <c r="C6" s="54"/>
      <c r="D6" s="76" t="s">
        <v>18</v>
      </c>
      <c r="E6" s="77"/>
      <c r="F6" s="68"/>
      <c r="G6" s="51"/>
      <c r="H6" s="55"/>
      <c r="I6" s="55"/>
      <c r="J6" s="27"/>
      <c r="K6" s="27"/>
      <c r="L6" s="27"/>
      <c r="M6" s="27"/>
      <c r="N6" s="27"/>
      <c r="O6" s="27"/>
      <c r="P6" s="27"/>
      <c r="Q6" s="27"/>
      <c r="R6" s="27"/>
      <c r="S6" s="27"/>
      <c r="T6" s="31"/>
      <c r="U6" s="31"/>
      <c r="V6" s="43"/>
      <c r="W6" s="42"/>
      <c r="X6" s="31"/>
      <c r="Y6" s="43"/>
    </row>
    <row r="7" spans="1:25" x14ac:dyDescent="0.25">
      <c r="A7" s="57"/>
      <c r="B7" s="53"/>
      <c r="C7" s="54"/>
      <c r="D7" s="52"/>
      <c r="E7" s="52"/>
      <c r="F7" s="69"/>
      <c r="G7" s="51"/>
      <c r="H7" s="51"/>
      <c r="I7" s="27"/>
      <c r="J7" s="29"/>
      <c r="K7" s="30"/>
      <c r="L7" s="28"/>
      <c r="M7" s="28"/>
      <c r="N7" s="28"/>
      <c r="O7" s="28"/>
      <c r="P7" s="28"/>
      <c r="Q7" s="28"/>
      <c r="R7" s="30"/>
      <c r="S7" s="30"/>
      <c r="T7" s="31"/>
      <c r="U7" s="31"/>
      <c r="V7" s="43"/>
      <c r="W7" s="42"/>
      <c r="X7" s="31"/>
      <c r="Y7" s="43"/>
    </row>
    <row r="8" spans="1:25" x14ac:dyDescent="0.25">
      <c r="A8" s="82" t="s">
        <v>64</v>
      </c>
      <c r="B8" s="83"/>
      <c r="C8" s="54"/>
      <c r="D8" s="76" t="s">
        <v>23</v>
      </c>
      <c r="E8" s="77"/>
      <c r="F8" s="68"/>
      <c r="G8" s="51"/>
      <c r="H8" s="55"/>
      <c r="I8" s="55"/>
      <c r="J8" s="27"/>
      <c r="K8" s="27"/>
      <c r="L8" s="27"/>
      <c r="M8" s="27"/>
      <c r="N8" s="27"/>
      <c r="O8" s="27"/>
      <c r="P8" s="27"/>
      <c r="Q8" s="27"/>
      <c r="R8" s="27"/>
      <c r="S8" s="27"/>
      <c r="T8" s="31"/>
      <c r="U8" s="31"/>
      <c r="V8" s="43"/>
      <c r="W8" s="42"/>
      <c r="X8" s="31"/>
      <c r="Y8" s="43"/>
    </row>
    <row r="9" spans="1:25" ht="15.75" thickBot="1" x14ac:dyDescent="0.3">
      <c r="A9" s="33"/>
      <c r="B9" s="34"/>
      <c r="C9" s="34"/>
      <c r="D9" s="34"/>
      <c r="E9" s="34"/>
      <c r="F9" s="35"/>
      <c r="G9" s="35"/>
      <c r="H9" s="35"/>
      <c r="I9" s="35"/>
      <c r="J9" s="36"/>
      <c r="K9" s="21"/>
      <c r="L9" s="20"/>
      <c r="M9" s="20"/>
      <c r="N9" s="20"/>
      <c r="O9" s="20"/>
      <c r="P9" s="20"/>
      <c r="Q9" s="20"/>
      <c r="R9" s="37"/>
      <c r="S9" s="37"/>
      <c r="T9" s="22"/>
      <c r="U9" s="22"/>
      <c r="V9" s="58"/>
      <c r="W9" s="44"/>
      <c r="X9" s="22"/>
      <c r="Y9" s="23"/>
    </row>
    <row r="10" spans="1:25" ht="14.45" customHeight="1" x14ac:dyDescent="0.25">
      <c r="A10" s="116" t="s">
        <v>0</v>
      </c>
      <c r="B10" s="78" t="s">
        <v>25</v>
      </c>
      <c r="C10" s="78" t="s">
        <v>33</v>
      </c>
      <c r="D10" s="93" t="s">
        <v>15</v>
      </c>
      <c r="E10" s="93" t="s">
        <v>34</v>
      </c>
      <c r="F10" s="85" t="s">
        <v>1</v>
      </c>
      <c r="G10" s="85" t="s">
        <v>27</v>
      </c>
      <c r="H10" s="85" t="s">
        <v>50</v>
      </c>
      <c r="I10" s="85" t="s">
        <v>38</v>
      </c>
      <c r="J10" s="70" t="s">
        <v>39</v>
      </c>
      <c r="K10" s="71"/>
      <c r="L10" s="78" t="s">
        <v>16</v>
      </c>
      <c r="M10" s="78" t="s">
        <v>35</v>
      </c>
      <c r="N10" s="78" t="s">
        <v>37</v>
      </c>
      <c r="O10" s="78" t="s">
        <v>32</v>
      </c>
      <c r="P10" s="78" t="s">
        <v>42</v>
      </c>
      <c r="Q10" s="78" t="s">
        <v>44</v>
      </c>
      <c r="R10" s="119" t="s">
        <v>46</v>
      </c>
      <c r="S10" s="70" t="s">
        <v>5</v>
      </c>
      <c r="T10" s="71"/>
      <c r="U10" s="93" t="s">
        <v>9</v>
      </c>
      <c r="V10" s="93"/>
      <c r="W10" s="93" t="s">
        <v>6</v>
      </c>
      <c r="X10" s="108" t="s">
        <v>49</v>
      </c>
      <c r="Y10" s="109"/>
    </row>
    <row r="11" spans="1:25" x14ac:dyDescent="0.25">
      <c r="A11" s="117"/>
      <c r="B11" s="84"/>
      <c r="C11" s="84"/>
      <c r="D11" s="94"/>
      <c r="E11" s="94"/>
      <c r="F11" s="86"/>
      <c r="G11" s="105"/>
      <c r="H11" s="105"/>
      <c r="I11" s="86"/>
      <c r="J11" s="89"/>
      <c r="K11" s="90"/>
      <c r="L11" s="114"/>
      <c r="M11" s="84"/>
      <c r="N11" s="84"/>
      <c r="O11" s="79"/>
      <c r="P11" s="79"/>
      <c r="Q11" s="79"/>
      <c r="R11" s="120"/>
      <c r="S11" s="72"/>
      <c r="T11" s="73"/>
      <c r="U11" s="94"/>
      <c r="V11" s="94"/>
      <c r="W11" s="94"/>
      <c r="X11" s="110"/>
      <c r="Y11" s="111"/>
    </row>
    <row r="12" spans="1:25" x14ac:dyDescent="0.25">
      <c r="A12" s="117"/>
      <c r="B12" s="84"/>
      <c r="C12" s="84"/>
      <c r="D12" s="94"/>
      <c r="E12" s="94"/>
      <c r="F12" s="86"/>
      <c r="G12" s="106" t="s">
        <v>28</v>
      </c>
      <c r="H12" s="106" t="s">
        <v>29</v>
      </c>
      <c r="I12" s="87" t="s">
        <v>30</v>
      </c>
      <c r="J12" s="91" t="s">
        <v>40</v>
      </c>
      <c r="K12" s="92"/>
      <c r="L12" s="114"/>
      <c r="M12" s="84"/>
      <c r="N12" s="84"/>
      <c r="O12" s="80" t="s">
        <v>41</v>
      </c>
      <c r="P12" s="80" t="s">
        <v>43</v>
      </c>
      <c r="Q12" s="80" t="s">
        <v>45</v>
      </c>
      <c r="R12" s="120"/>
      <c r="S12" s="72"/>
      <c r="T12" s="73"/>
      <c r="U12" s="94"/>
      <c r="V12" s="94"/>
      <c r="W12" s="94"/>
      <c r="X12" s="106" t="s">
        <v>47</v>
      </c>
      <c r="Y12" s="112" t="s">
        <v>48</v>
      </c>
    </row>
    <row r="13" spans="1:25" ht="15.75" thickBot="1" x14ac:dyDescent="0.3">
      <c r="A13" s="118"/>
      <c r="B13" s="81"/>
      <c r="C13" s="81"/>
      <c r="D13" s="95"/>
      <c r="E13" s="95"/>
      <c r="F13" s="107"/>
      <c r="G13" s="107"/>
      <c r="H13" s="107"/>
      <c r="I13" s="88"/>
      <c r="J13" s="74"/>
      <c r="K13" s="75"/>
      <c r="L13" s="115"/>
      <c r="M13" s="81"/>
      <c r="N13" s="81"/>
      <c r="O13" s="81"/>
      <c r="P13" s="81"/>
      <c r="Q13" s="81"/>
      <c r="R13" s="121"/>
      <c r="S13" s="74"/>
      <c r="T13" s="75"/>
      <c r="U13" s="95"/>
      <c r="V13" s="95"/>
      <c r="W13" s="95"/>
      <c r="X13" s="107"/>
      <c r="Y13" s="113"/>
    </row>
    <row r="14" spans="1:25" s="67" customFormat="1" ht="101.25" customHeight="1" thickTop="1" x14ac:dyDescent="0.25">
      <c r="A14" s="60" t="s">
        <v>53</v>
      </c>
      <c r="B14" s="60" t="s">
        <v>54</v>
      </c>
      <c r="C14" s="60">
        <v>1</v>
      </c>
      <c r="D14" s="64">
        <v>46154</v>
      </c>
      <c r="E14" s="50" t="s">
        <v>55</v>
      </c>
      <c r="F14" s="50" t="s">
        <v>56</v>
      </c>
      <c r="G14" s="65" t="s">
        <v>57</v>
      </c>
      <c r="H14" s="65" t="s">
        <v>19</v>
      </c>
      <c r="I14" s="60" t="s">
        <v>31</v>
      </c>
      <c r="J14" s="50" t="s">
        <v>19</v>
      </c>
      <c r="K14" s="50" t="s">
        <v>20</v>
      </c>
      <c r="L14" s="50" t="s">
        <v>58</v>
      </c>
      <c r="M14" s="60" t="s">
        <v>36</v>
      </c>
      <c r="N14" s="60" t="s">
        <v>59</v>
      </c>
      <c r="O14" s="60" t="s">
        <v>51</v>
      </c>
      <c r="P14" s="62" t="s">
        <v>65</v>
      </c>
      <c r="Q14" s="50" t="s">
        <v>62</v>
      </c>
      <c r="R14" s="50" t="s">
        <v>52</v>
      </c>
      <c r="S14" s="63" t="s">
        <v>60</v>
      </c>
      <c r="T14" s="50" t="s">
        <v>3</v>
      </c>
      <c r="U14" s="66">
        <f>IF(R14="Positive",2,IF(R14="Neutral",1,IF(R14="Negative",0,"")))</f>
        <v>2</v>
      </c>
      <c r="V14" s="66">
        <f>IF(T14="YES",1,0)</f>
        <v>1</v>
      </c>
      <c r="W14" s="61" t="str">
        <f>CHOOSE(MIN(4,MAX(1,IF(R14="Positive",2,IF(R14="Neutral",1,IF(R14="Negative",-1,0)))+IF(T14="YES",1,0))),"4 - Very Low","3 - Low","2 - Medium","1 - High")</f>
        <v>2 - Medium</v>
      </c>
      <c r="X14" s="50" t="s">
        <v>61</v>
      </c>
      <c r="Y14" s="64">
        <v>46192</v>
      </c>
    </row>
    <row r="15" spans="1:25" x14ac:dyDescent="0.25">
      <c r="A15" s="14"/>
      <c r="B15" s="14"/>
      <c r="C15" s="14"/>
      <c r="D15" s="14"/>
      <c r="E15" s="11"/>
      <c r="F15" s="11"/>
      <c r="G15" s="15"/>
      <c r="H15" s="15"/>
      <c r="I15" s="15"/>
      <c r="J15" s="10"/>
      <c r="K15" s="10"/>
      <c r="L15" s="11"/>
      <c r="M15" s="11"/>
      <c r="N15" s="11"/>
      <c r="O15" s="11"/>
      <c r="P15" s="11"/>
      <c r="Q15" s="11"/>
      <c r="R15" s="10"/>
      <c r="S15" s="10"/>
      <c r="T15" s="10"/>
      <c r="U15" s="12"/>
      <c r="V15" s="12"/>
      <c r="W15" s="12"/>
      <c r="X15" s="12"/>
      <c r="Y15" s="13"/>
    </row>
    <row r="16" spans="1:25" x14ac:dyDescent="0.25">
      <c r="A16" s="14"/>
      <c r="B16" s="14"/>
      <c r="C16" s="14"/>
      <c r="D16" s="14"/>
      <c r="E16" s="16"/>
      <c r="F16" s="11"/>
      <c r="G16" s="15"/>
      <c r="H16" s="15"/>
      <c r="I16" s="15"/>
      <c r="J16" s="10"/>
      <c r="K16" s="10"/>
      <c r="L16" s="11"/>
      <c r="M16" s="11"/>
      <c r="N16" s="11"/>
      <c r="O16" s="11"/>
      <c r="P16" s="11"/>
      <c r="Q16" s="11"/>
      <c r="R16" s="10"/>
      <c r="S16" s="10"/>
      <c r="T16" s="10"/>
      <c r="U16" s="12"/>
      <c r="V16" s="12"/>
      <c r="W16" s="12"/>
      <c r="X16" s="12"/>
      <c r="Y16" s="13"/>
    </row>
    <row r="17" spans="1:25" x14ac:dyDescent="0.25">
      <c r="A17" s="14"/>
      <c r="B17" s="14"/>
      <c r="C17" s="14"/>
      <c r="D17" s="14"/>
      <c r="E17" s="16"/>
      <c r="F17" s="11"/>
      <c r="G17" s="15"/>
      <c r="H17" s="15"/>
      <c r="I17" s="15"/>
      <c r="J17" s="10"/>
      <c r="K17" s="10"/>
      <c r="L17" s="11"/>
      <c r="M17" s="11"/>
      <c r="N17" s="11"/>
      <c r="O17" s="11"/>
      <c r="P17" s="11"/>
      <c r="Q17" s="11"/>
      <c r="R17" s="10"/>
      <c r="S17" s="10"/>
      <c r="T17" s="10"/>
      <c r="U17" s="12"/>
      <c r="V17" s="12"/>
      <c r="W17" s="12"/>
      <c r="X17" s="12"/>
      <c r="Y17" s="13"/>
    </row>
    <row r="18" spans="1:25" x14ac:dyDescent="0.25">
      <c r="A18" s="14"/>
      <c r="B18" s="14"/>
      <c r="C18" s="14"/>
      <c r="D18" s="14"/>
      <c r="E18" s="16"/>
      <c r="F18" s="11"/>
      <c r="G18" s="15"/>
      <c r="H18" s="15"/>
      <c r="I18" s="15"/>
      <c r="J18" s="10"/>
      <c r="K18" s="10"/>
      <c r="L18" s="11"/>
      <c r="M18" s="11"/>
      <c r="N18" s="11"/>
      <c r="O18" s="11"/>
      <c r="P18" s="11"/>
      <c r="Q18" s="11"/>
      <c r="R18" s="10"/>
      <c r="S18" s="10"/>
      <c r="T18" s="10"/>
      <c r="U18" s="12"/>
      <c r="V18" s="12"/>
      <c r="W18" s="12"/>
      <c r="X18" s="12"/>
      <c r="Y18" s="13"/>
    </row>
    <row r="19" spans="1:25" x14ac:dyDescent="0.25">
      <c r="A19" s="14"/>
      <c r="B19" s="14"/>
      <c r="C19" s="14"/>
      <c r="D19" s="14"/>
      <c r="E19" s="16"/>
      <c r="F19" s="11"/>
      <c r="G19" s="15"/>
      <c r="H19" s="15"/>
      <c r="I19" s="15"/>
      <c r="J19" s="10"/>
      <c r="K19" s="10"/>
      <c r="L19" s="11"/>
      <c r="M19" s="11"/>
      <c r="N19" s="11"/>
      <c r="O19" s="11"/>
      <c r="P19" s="11"/>
      <c r="Q19" s="11"/>
      <c r="R19" s="10"/>
      <c r="S19" s="10"/>
      <c r="T19" s="10"/>
      <c r="U19" s="12"/>
      <c r="V19" s="12"/>
      <c r="W19" s="12"/>
      <c r="X19" s="12"/>
      <c r="Y19" s="13"/>
    </row>
    <row r="20" spans="1:25" x14ac:dyDescent="0.25">
      <c r="A20" s="14"/>
      <c r="B20" s="14"/>
      <c r="C20" s="14"/>
      <c r="D20" s="14"/>
      <c r="E20" s="16"/>
      <c r="F20" s="11"/>
      <c r="G20" s="15"/>
      <c r="H20" s="15"/>
      <c r="I20" s="15"/>
      <c r="J20" s="10"/>
      <c r="K20" s="10"/>
      <c r="L20" s="11"/>
      <c r="M20" s="11"/>
      <c r="N20" s="11"/>
      <c r="O20" s="11"/>
      <c r="P20" s="11"/>
      <c r="Q20" s="11"/>
      <c r="R20" s="10"/>
      <c r="S20" s="10"/>
      <c r="T20" s="10"/>
      <c r="U20" s="12"/>
      <c r="V20" s="12"/>
      <c r="W20" s="12"/>
      <c r="X20" s="12"/>
      <c r="Y20" s="13"/>
    </row>
    <row r="21" spans="1:25" x14ac:dyDescent="0.25">
      <c r="A21" s="14"/>
      <c r="B21" s="14"/>
      <c r="C21" s="14"/>
      <c r="D21" s="14"/>
      <c r="E21" s="16"/>
      <c r="F21" s="11"/>
      <c r="G21" s="15"/>
      <c r="H21" s="49"/>
      <c r="I21" s="49"/>
      <c r="J21" s="10"/>
      <c r="K21" s="10"/>
      <c r="L21" s="17"/>
      <c r="M21" s="17"/>
      <c r="N21" s="17"/>
      <c r="O21" s="17"/>
      <c r="P21" s="17"/>
      <c r="Q21" s="17"/>
      <c r="R21" s="10"/>
      <c r="S21" s="10"/>
      <c r="T21" s="10"/>
      <c r="U21" s="12"/>
      <c r="V21" s="12"/>
      <c r="W21" s="12"/>
      <c r="X21" s="12"/>
      <c r="Y21" s="13"/>
    </row>
    <row r="22" spans="1:25" x14ac:dyDescent="0.25">
      <c r="A22" s="14"/>
      <c r="B22" s="14"/>
      <c r="C22" s="14"/>
      <c r="D22" s="14"/>
      <c r="E22" s="16"/>
      <c r="F22" s="11"/>
      <c r="G22" s="15"/>
      <c r="H22" s="15"/>
      <c r="I22" s="15"/>
      <c r="J22" s="10"/>
      <c r="K22" s="10"/>
      <c r="L22" s="11"/>
      <c r="M22" s="11"/>
      <c r="N22" s="11"/>
      <c r="O22" s="11"/>
      <c r="P22" s="11"/>
      <c r="Q22" s="11"/>
      <c r="R22" s="10"/>
      <c r="S22" s="10"/>
      <c r="T22" s="10"/>
      <c r="U22" s="12"/>
      <c r="V22" s="12"/>
      <c r="W22" s="12"/>
      <c r="X22" s="12"/>
      <c r="Y22" s="13"/>
    </row>
    <row r="23" spans="1:25" x14ac:dyDescent="0.25">
      <c r="A23" s="14"/>
      <c r="B23" s="14"/>
      <c r="C23" s="14"/>
      <c r="D23" s="14"/>
      <c r="E23" s="16"/>
      <c r="F23" s="11"/>
      <c r="G23" s="15"/>
      <c r="H23" s="15"/>
      <c r="I23" s="15"/>
      <c r="J23" s="10"/>
      <c r="K23" s="10"/>
      <c r="L23" s="11"/>
      <c r="M23" s="11"/>
      <c r="N23" s="11"/>
      <c r="O23" s="11"/>
      <c r="P23" s="11"/>
      <c r="Q23" s="11"/>
      <c r="R23" s="10"/>
      <c r="S23" s="10"/>
      <c r="T23" s="10"/>
      <c r="U23" s="12"/>
      <c r="V23" s="12"/>
      <c r="W23" s="12"/>
      <c r="X23" s="12"/>
      <c r="Y23" s="13"/>
    </row>
    <row r="24" spans="1:25" x14ac:dyDescent="0.25">
      <c r="A24" s="14"/>
      <c r="B24" s="14"/>
      <c r="C24" s="14"/>
      <c r="D24" s="14"/>
      <c r="E24" s="16"/>
      <c r="F24" s="11"/>
      <c r="G24" s="15"/>
      <c r="H24" s="15"/>
      <c r="I24" s="15"/>
      <c r="J24" s="10"/>
      <c r="K24" s="10"/>
      <c r="L24" s="11"/>
      <c r="M24" s="11"/>
      <c r="N24" s="11"/>
      <c r="O24" s="11"/>
      <c r="P24" s="11"/>
      <c r="Q24" s="11"/>
      <c r="R24" s="10"/>
      <c r="S24" s="10"/>
      <c r="T24" s="10"/>
      <c r="U24" s="12"/>
      <c r="V24" s="12"/>
      <c r="W24" s="12"/>
      <c r="X24" s="12"/>
      <c r="Y24" s="13"/>
    </row>
    <row r="25" spans="1:25" x14ac:dyDescent="0.25">
      <c r="A25" s="14"/>
      <c r="B25" s="14"/>
      <c r="C25" s="14"/>
      <c r="D25" s="14"/>
      <c r="E25" s="16"/>
      <c r="F25" s="11"/>
      <c r="G25" s="15"/>
      <c r="H25" s="15"/>
      <c r="I25" s="15"/>
      <c r="J25" s="10"/>
      <c r="K25" s="10"/>
      <c r="L25" s="11"/>
      <c r="M25" s="11"/>
      <c r="N25" s="11"/>
      <c r="O25" s="11"/>
      <c r="P25" s="11"/>
      <c r="Q25" s="11"/>
      <c r="R25" s="10"/>
      <c r="S25" s="10"/>
      <c r="T25" s="10"/>
      <c r="U25" s="12"/>
      <c r="V25" s="12"/>
      <c r="W25" s="12"/>
      <c r="X25" s="12"/>
      <c r="Y25" s="13"/>
    </row>
    <row r="26" spans="1:25" x14ac:dyDescent="0.25">
      <c r="A26" s="14"/>
      <c r="B26" s="14"/>
      <c r="C26" s="14"/>
      <c r="D26" s="14"/>
      <c r="E26" s="16"/>
      <c r="F26" s="11"/>
      <c r="G26" s="15"/>
      <c r="H26" s="15"/>
      <c r="I26" s="15"/>
      <c r="J26" s="10"/>
      <c r="K26" s="10"/>
      <c r="L26" s="11"/>
      <c r="M26" s="11"/>
      <c r="N26" s="11"/>
      <c r="O26" s="11"/>
      <c r="P26" s="11"/>
      <c r="Q26" s="11"/>
      <c r="R26" s="10"/>
      <c r="S26" s="10"/>
      <c r="T26" s="10"/>
      <c r="U26" s="12"/>
      <c r="V26" s="12"/>
      <c r="W26" s="12"/>
      <c r="X26" s="12"/>
      <c r="Y26" s="13"/>
    </row>
    <row r="27" spans="1:25" x14ac:dyDescent="0.25">
      <c r="A27" s="14"/>
      <c r="B27" s="14"/>
      <c r="C27" s="14"/>
      <c r="D27" s="14"/>
      <c r="E27" s="16"/>
      <c r="F27" s="11"/>
      <c r="G27" s="15"/>
      <c r="H27" s="15"/>
      <c r="I27" s="15"/>
      <c r="J27" s="10"/>
      <c r="K27" s="10"/>
      <c r="L27" s="11"/>
      <c r="M27" s="11"/>
      <c r="N27" s="11"/>
      <c r="O27" s="11"/>
      <c r="P27" s="11"/>
      <c r="Q27" s="11"/>
      <c r="R27" s="10"/>
      <c r="S27" s="10"/>
      <c r="T27" s="10"/>
      <c r="U27" s="12"/>
      <c r="V27" s="12"/>
      <c r="W27" s="12"/>
      <c r="X27" s="12"/>
      <c r="Y27" s="13"/>
    </row>
    <row r="28" spans="1:25" x14ac:dyDescent="0.25">
      <c r="A28" s="7"/>
      <c r="B28" s="7"/>
      <c r="C28" s="7"/>
      <c r="D28" s="7"/>
      <c r="E28" s="7"/>
      <c r="F28" s="7"/>
      <c r="G28" s="7"/>
      <c r="H28" s="7"/>
      <c r="I28" s="7"/>
      <c r="J28" s="9"/>
      <c r="K28" s="9"/>
      <c r="L28" s="7"/>
      <c r="M28" s="7"/>
      <c r="N28" s="7"/>
      <c r="O28" s="7"/>
      <c r="P28" s="7"/>
      <c r="Q28" s="7"/>
      <c r="R28" s="9"/>
      <c r="S28" s="9"/>
      <c r="T28" s="9"/>
      <c r="U28" s="7"/>
      <c r="V28" s="7"/>
      <c r="W28" s="8"/>
      <c r="X28" s="8"/>
      <c r="Y28" s="7"/>
    </row>
    <row r="29" spans="1:25" x14ac:dyDescent="0.25">
      <c r="A29" s="7"/>
      <c r="B29" s="7"/>
      <c r="C29" s="7"/>
      <c r="D29" s="7"/>
      <c r="E29" s="7"/>
      <c r="F29" s="7"/>
      <c r="G29" s="7"/>
      <c r="H29" s="7"/>
      <c r="I29" s="7"/>
      <c r="J29" s="9"/>
      <c r="K29" s="9"/>
      <c r="L29" s="7"/>
      <c r="M29" s="7"/>
      <c r="N29" s="7"/>
      <c r="O29" s="7"/>
      <c r="P29" s="7"/>
      <c r="Q29" s="7"/>
      <c r="R29" s="9"/>
      <c r="S29" s="9"/>
      <c r="T29" s="9"/>
      <c r="U29" s="7"/>
      <c r="V29" s="7"/>
      <c r="W29" s="8"/>
      <c r="X29" s="8"/>
      <c r="Y29" s="7"/>
    </row>
    <row r="30" spans="1:25" x14ac:dyDescent="0.25">
      <c r="A30" s="7"/>
      <c r="B30" s="7"/>
      <c r="C30" s="7"/>
      <c r="D30" s="7"/>
      <c r="E30" s="7"/>
      <c r="F30" s="7"/>
      <c r="G30" s="7"/>
      <c r="H30" s="7"/>
      <c r="I30" s="7"/>
      <c r="J30" s="9"/>
      <c r="K30" s="9"/>
      <c r="L30" s="7"/>
      <c r="M30" s="7"/>
      <c r="N30" s="7"/>
      <c r="O30" s="7"/>
      <c r="P30" s="7"/>
      <c r="Q30" s="7"/>
      <c r="R30" s="9"/>
      <c r="S30" s="9"/>
      <c r="T30" s="9"/>
      <c r="U30" s="7"/>
      <c r="V30" s="7"/>
      <c r="W30" s="8"/>
      <c r="X30" s="8"/>
      <c r="Y30" s="7"/>
    </row>
    <row r="31" spans="1:25" x14ac:dyDescent="0.25">
      <c r="A31" s="7"/>
      <c r="B31" s="7"/>
      <c r="C31" s="7"/>
      <c r="D31" s="7"/>
      <c r="E31" s="7"/>
      <c r="F31" s="7"/>
      <c r="G31" s="7"/>
      <c r="H31" s="7"/>
      <c r="I31" s="7"/>
      <c r="J31" s="9"/>
      <c r="K31" s="9"/>
      <c r="L31" s="7"/>
      <c r="M31" s="7"/>
      <c r="N31" s="7"/>
      <c r="O31" s="7"/>
      <c r="P31" s="7"/>
      <c r="Q31" s="7"/>
      <c r="R31" s="9"/>
      <c r="S31" s="9"/>
      <c r="T31" s="9"/>
      <c r="U31" s="7"/>
      <c r="V31" s="7"/>
      <c r="W31" s="8"/>
      <c r="X31" s="8"/>
      <c r="Y31" s="7"/>
    </row>
    <row r="32" spans="1:25" x14ac:dyDescent="0.25">
      <c r="J32" s="3"/>
      <c r="K32" s="3"/>
      <c r="R32" s="3"/>
      <c r="S32" s="3"/>
      <c r="T32" s="3"/>
      <c r="W32" s="2"/>
      <c r="X32" s="2"/>
    </row>
    <row r="33" spans="23:24" x14ac:dyDescent="0.25">
      <c r="W33" s="2"/>
      <c r="X33" s="2"/>
    </row>
    <row r="34" spans="23:24" x14ac:dyDescent="0.25">
      <c r="W34" s="2"/>
      <c r="X34" s="2"/>
    </row>
    <row r="35" spans="23:24" x14ac:dyDescent="0.25">
      <c r="W35" s="2"/>
      <c r="X35" s="2"/>
    </row>
    <row r="36" spans="23:24" x14ac:dyDescent="0.25">
      <c r="W36" s="2"/>
      <c r="X36" s="2"/>
    </row>
    <row r="37" spans="23:24" x14ac:dyDescent="0.25">
      <c r="W37" s="2"/>
      <c r="X37" s="2"/>
    </row>
    <row r="38" spans="23:24" x14ac:dyDescent="0.25">
      <c r="W38" s="2"/>
      <c r="X38" s="2"/>
    </row>
    <row r="39" spans="23:24" x14ac:dyDescent="0.25">
      <c r="W39" s="2"/>
      <c r="X39" s="2"/>
    </row>
    <row r="40" spans="23:24" x14ac:dyDescent="0.25">
      <c r="W40" s="2"/>
      <c r="X40" s="2"/>
    </row>
    <row r="41" spans="23:24" x14ac:dyDescent="0.25">
      <c r="W41" s="2"/>
      <c r="X41" s="2"/>
    </row>
    <row r="42" spans="23:24" x14ac:dyDescent="0.25">
      <c r="W42" s="2"/>
      <c r="X42" s="2"/>
    </row>
    <row r="43" spans="23:24" x14ac:dyDescent="0.25">
      <c r="W43" s="2"/>
      <c r="X43" s="2"/>
    </row>
    <row r="44" spans="23:24" x14ac:dyDescent="0.25">
      <c r="W44" s="2"/>
      <c r="X44" s="2"/>
    </row>
    <row r="45" spans="23:24" x14ac:dyDescent="0.25">
      <c r="W45" s="2"/>
      <c r="X45" s="2"/>
    </row>
    <row r="46" spans="23:24" x14ac:dyDescent="0.25">
      <c r="W46" s="2"/>
      <c r="X46" s="2"/>
    </row>
    <row r="47" spans="23:24" x14ac:dyDescent="0.25">
      <c r="W47" s="2"/>
      <c r="X47" s="2"/>
    </row>
    <row r="48" spans="23:24" x14ac:dyDescent="0.25">
      <c r="W48" s="2"/>
      <c r="X48" s="2"/>
    </row>
    <row r="49" spans="23:24" x14ac:dyDescent="0.25">
      <c r="W49" s="2"/>
      <c r="X49" s="2"/>
    </row>
    <row r="50" spans="23:24" x14ac:dyDescent="0.25">
      <c r="W50" s="2"/>
      <c r="X50" s="2"/>
    </row>
    <row r="51" spans="23:24" x14ac:dyDescent="0.25">
      <c r="W51" s="2"/>
      <c r="X51" s="2"/>
    </row>
    <row r="52" spans="23:24" x14ac:dyDescent="0.25">
      <c r="W52" s="2"/>
      <c r="X52" s="2"/>
    </row>
    <row r="53" spans="23:24" x14ac:dyDescent="0.25">
      <c r="W53" s="2"/>
      <c r="X53" s="2"/>
    </row>
  </sheetData>
  <dataConsolidate/>
  <mergeCells count="35">
    <mergeCell ref="W10:W13"/>
    <mergeCell ref="X10:Y11"/>
    <mergeCell ref="X12:X13"/>
    <mergeCell ref="Y12:Y13"/>
    <mergeCell ref="F10:F13"/>
    <mergeCell ref="L10:L13"/>
    <mergeCell ref="R10:R13"/>
    <mergeCell ref="A2:V4"/>
    <mergeCell ref="G10:G11"/>
    <mergeCell ref="G12:G13"/>
    <mergeCell ref="H10:H11"/>
    <mergeCell ref="H12:H13"/>
    <mergeCell ref="O10:O11"/>
    <mergeCell ref="O12:O13"/>
    <mergeCell ref="U10:V13"/>
    <mergeCell ref="A10:A13"/>
    <mergeCell ref="E10:E13"/>
    <mergeCell ref="A6:B6"/>
    <mergeCell ref="A8:B8"/>
    <mergeCell ref="C10:C13"/>
    <mergeCell ref="M10:M13"/>
    <mergeCell ref="N10:N13"/>
    <mergeCell ref="I10:I11"/>
    <mergeCell ref="I12:I13"/>
    <mergeCell ref="J10:K11"/>
    <mergeCell ref="J12:K13"/>
    <mergeCell ref="B10:B13"/>
    <mergeCell ref="D10:D13"/>
    <mergeCell ref="S10:T13"/>
    <mergeCell ref="D6:E6"/>
    <mergeCell ref="D8:E8"/>
    <mergeCell ref="P10:P11"/>
    <mergeCell ref="P12:P13"/>
    <mergeCell ref="Q10:Q11"/>
    <mergeCell ref="Q12:Q13"/>
  </mergeCells>
  <conditionalFormatting sqref="W1:W13 W15:W1048576">
    <cfRule type="expression" dxfId="11" priority="6">
      <formula>$X14="3 - Low"</formula>
    </cfRule>
    <cfRule type="expression" dxfId="10" priority="7">
      <formula>$X14="2 - Medium"</formula>
    </cfRule>
    <cfRule type="expression" dxfId="9" priority="8">
      <formula>$X14="1 - High"</formula>
    </cfRule>
  </conditionalFormatting>
  <conditionalFormatting sqref="W14:W485">
    <cfRule type="expression" dxfId="8" priority="1">
      <formula>$W14="4-Very Low"</formula>
    </cfRule>
    <cfRule type="expression" dxfId="7" priority="2">
      <formula>$W14="3 - Low"</formula>
    </cfRule>
    <cfRule type="expression" dxfId="6" priority="3">
      <formula>$W14="2 - Medium"</formula>
    </cfRule>
    <cfRule type="expression" dxfId="5" priority="4">
      <formula>$W14="2 - Medium"</formula>
    </cfRule>
    <cfRule type="expression" dxfId="4" priority="5">
      <formula>$W14="1 - High"</formula>
    </cfRule>
  </conditionalFormatting>
  <conditionalFormatting sqref="W15:W148">
    <cfRule type="expression" dxfId="3" priority="9">
      <formula>$X15="1 - High"</formula>
    </cfRule>
  </conditionalFormatting>
  <dataValidations count="8">
    <dataValidation type="list" sqref="B14" xr:uid="{B943EE8E-9BED-4F47-BF2F-3A16B71956ED}">
      <formula1>"Feasibility Design, Outline Design, Detail Design, Construction,Closeout"</formula1>
    </dataValidation>
    <dataValidation type="list" sqref="C14" xr:uid="{4ED262A5-0194-4C7B-B7D7-478953802E7F}">
      <formula1>"1,2,3,4,5,6,7,8,9,19"</formula1>
    </dataValidation>
    <dataValidation type="list" sqref="I14" xr:uid="{E2C23A91-A282-442D-B1FD-04A0D7EC9888}">
      <formula1>"Murphy, Arup, MGE"</formula1>
    </dataValidation>
    <dataValidation type="list" sqref="M14" xr:uid="{2DD95E6C-AA39-4752-B6B9-441D51BD601D}">
      <formula1>"Proposed, Approved, Rejected, Deferred"</formula1>
    </dataValidation>
    <dataValidation type="list" sqref="N14" xr:uid="{E913004C-1CFB-4B06-BABF-4024A5197EA6}">
      <formula1>"None, Pre-freeze, Post-freeze change, Major Redesign"</formula1>
    </dataValidation>
    <dataValidation type="list" sqref="O14" xr:uid="{C24E4050-83D1-4FF1-B6A7-1BD9D8AC8F17}">
      <formula1>"Yes, No"</formula1>
    </dataValidation>
    <dataValidation type="list" allowBlank="1" showInputMessage="1" showErrorMessage="1" sqref="R14" xr:uid="{AAF5C8EC-F8D5-4FF7-B7A8-9A36B07877A6}">
      <formula1>"Positive, Negative, Neutral"</formula1>
    </dataValidation>
    <dataValidation type="list" sqref="A14" xr:uid="{9C6EC58F-DFA8-4A61-AFDA-87D3832B1F8A}">
      <formula1>"DR-001, DR-002, DR-003, DR-004, DR-005"</formula1>
    </dataValidation>
  </dataValidations>
  <pageMargins left="0.7" right="0.7" top="0.75" bottom="0.75" header="0.3" footer="0.3"/>
  <pageSetup paperSize="8" scale="63" fitToHeight="0" orientation="landscape" r:id="rId1"/>
  <headerFooter>
    <oddFooter>&amp;L&amp;"Arial,Regular"&amp;9&amp;K000000Contains &amp;"Arial,Italic"sensitive&amp;"Arial,Regular" information</oddFooter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30" operator="equal" id="{5B72D838-0BE6-44B1-A5AC-5C7F6219F5D3}">
            <xm:f>'Data Sheet'!$D$4</xm:f>
            <x14:dxf>
              <font>
                <b/>
                <i val="0"/>
              </font>
              <fill>
                <patternFill>
                  <bgColor theme="9" tint="0.39994506668294322"/>
                </patternFill>
              </fill>
            </x14:dxf>
          </x14:cfRule>
          <xm:sqref>W15:X530 X14</xm:sqref>
        </x14:conditionalFormatting>
        <x14:conditionalFormatting xmlns:xm="http://schemas.microsoft.com/office/excel/2006/main">
          <x14:cfRule type="cellIs" priority="31" operator="equal" id="{C3408A3D-F66A-457D-94ED-4F205BE8DB62}">
            <xm:f>'Data Sheet'!$D$2</xm:f>
            <x14:dxf>
              <font>
                <b/>
                <i val="0"/>
              </font>
              <fill>
                <patternFill patternType="solid">
                  <fgColor auto="1"/>
                  <bgColor rgb="FFFF6161"/>
                </patternFill>
              </fill>
            </x14:dxf>
          </x14:cfRule>
          <x14:cfRule type="cellIs" priority="32" operator="equal" id="{E8AD477B-3414-442B-A77E-11B7F64A77D1}">
            <xm:f>'Data Sheet'!$D$3</xm:f>
            <x14:dxf>
              <font>
                <b/>
                <i val="0"/>
              </font>
              <fill>
                <patternFill>
                  <bgColor theme="7" tint="0.59996337778862885"/>
                </patternFill>
              </fill>
            </x14:dxf>
          </x14:cfRule>
          <xm:sqref>X14 W15:X530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F378984-0A58-4DC4-91D2-977206DF6C20}">
          <x14:formula1>
            <xm:f>'Data Sheet'!$A$1:$A$2</xm:f>
          </x14:formula1>
          <xm:sqref>T14:T27 R15:S29</xm:sqref>
        </x14:dataValidation>
        <x14:dataValidation type="list" allowBlank="1" showInputMessage="1" showErrorMessage="1" xr:uid="{E6849419-AAD7-4156-805F-5E436990B034}">
          <x14:formula1>
            <xm:f>'Data Sheet'!$B$1:$B$4</xm:f>
          </x14:formula1>
          <xm:sqref>J15:K27</xm:sqref>
        </x14:dataValidation>
        <x14:dataValidation type="list" allowBlank="1" showInputMessage="1" showErrorMessage="1" xr:uid="{7EA5E6D8-FB77-49B8-8256-F7402FFB35E3}">
          <x14:formula1>
            <xm:f>'Data Sheet'!$B$1:$B$7</xm:f>
          </x14:formula1>
          <xm:sqref>J14:K14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1E192-4B29-4884-A235-A55EF13FF854}">
  <dimension ref="A1:D7"/>
  <sheetViews>
    <sheetView workbookViewId="0">
      <selection activeCell="D4" sqref="D4"/>
    </sheetView>
  </sheetViews>
  <sheetFormatPr defaultRowHeight="15" x14ac:dyDescent="0.25"/>
  <cols>
    <col min="2" max="3" width="14.85546875" bestFit="1" customWidth="1"/>
    <col min="4" max="4" width="15" customWidth="1"/>
  </cols>
  <sheetData>
    <row r="1" spans="1:4" x14ac:dyDescent="0.25">
      <c r="A1" t="s">
        <v>3</v>
      </c>
      <c r="B1" t="s">
        <v>19</v>
      </c>
      <c r="C1" t="s">
        <v>7</v>
      </c>
      <c r="D1" t="s">
        <v>17</v>
      </c>
    </row>
    <row r="2" spans="1:4" x14ac:dyDescent="0.25">
      <c r="A2" t="s">
        <v>4</v>
      </c>
      <c r="B2" t="s">
        <v>13</v>
      </c>
      <c r="C2" t="s">
        <v>8</v>
      </c>
      <c r="D2" s="6" t="s">
        <v>12</v>
      </c>
    </row>
    <row r="3" spans="1:4" x14ac:dyDescent="0.25">
      <c r="B3" t="s">
        <v>20</v>
      </c>
      <c r="C3" t="s">
        <v>2</v>
      </c>
      <c r="D3" s="5" t="s">
        <v>11</v>
      </c>
    </row>
    <row r="4" spans="1:4" x14ac:dyDescent="0.25">
      <c r="B4" t="s">
        <v>14</v>
      </c>
      <c r="D4" s="4" t="s">
        <v>10</v>
      </c>
    </row>
    <row r="5" spans="1:4" x14ac:dyDescent="0.25">
      <c r="B5" t="s">
        <v>21</v>
      </c>
    </row>
    <row r="6" spans="1:4" x14ac:dyDescent="0.25">
      <c r="B6" t="s">
        <v>24</v>
      </c>
    </row>
    <row r="7" spans="1:4" x14ac:dyDescent="0.25">
      <c r="B7" t="s">
        <v>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26a47c9-a45e-4753-993c-2f7bbe01df23" xsi:nil="true"/>
    <lcf76f155ced4ddcb4097134ff3c332f xmlns="fbc2cafe-7f2a-4b66-85ec-14e4226f9a8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81A6497DA14249A29FF48DCEABA89A" ma:contentTypeVersion="10" ma:contentTypeDescription="Create a new document." ma:contentTypeScope="" ma:versionID="8f704a379ab9963ff379509dff1b2e82">
  <xsd:schema xmlns:xsd="http://www.w3.org/2001/XMLSchema" xmlns:xs="http://www.w3.org/2001/XMLSchema" xmlns:p="http://schemas.microsoft.com/office/2006/metadata/properties" xmlns:ns2="fbc2cafe-7f2a-4b66-85ec-14e4226f9a8f" xmlns:ns3="926a47c9-a45e-4753-993c-2f7bbe01df23" targetNamespace="http://schemas.microsoft.com/office/2006/metadata/properties" ma:root="true" ma:fieldsID="1a1170c1ea9eb06c62062db5e9ace280" ns2:_="" ns3:_="">
    <xsd:import namespace="fbc2cafe-7f2a-4b66-85ec-14e4226f9a8f"/>
    <xsd:import namespace="926a47c9-a45e-4753-993c-2f7bbe01df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c2cafe-7f2a-4b66-85ec-14e4226f9a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37f35d5-c866-4834-b86a-3348a7968b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6a47c9-a45e-4753-993c-2f7bbe01df2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8039e30-df7f-4594-af73-dfd8862370da}" ma:internalName="TaxCatchAll" ma:showField="CatchAllData" ma:web="926a47c9-a45e-4753-993c-2f7bbe01df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BA66BE-19D3-4D90-9DE7-878CB540CF59}">
  <ds:schemaRefs>
    <ds:schemaRef ds:uri="http://schemas.microsoft.com/office/2006/documentManagement/types"/>
    <ds:schemaRef ds:uri="http://purl.org/dc/terms/"/>
    <ds:schemaRef ds:uri="926a47c9-a45e-4753-993c-2f7bbe01df23"/>
    <ds:schemaRef ds:uri="http://www.w3.org/XML/1998/namespace"/>
    <ds:schemaRef ds:uri="http://purl.org/dc/dcmitype/"/>
    <ds:schemaRef ds:uri="fbc2cafe-7f2a-4b66-85ec-14e4226f9a8f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3E82C013-B093-4921-9C3E-1001AE9536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D8C4E9-97D6-447B-AC6B-A3D9E06B46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c2cafe-7f2a-4b66-85ec-14e4226f9a8f"/>
    <ds:schemaRef ds:uri="926a47c9-a45e-4753-993c-2f7bbe01df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Decisions Register</vt:lpstr>
      <vt:lpstr>Data Sheet</vt:lpstr>
      <vt:lpstr>'Decisions Register'!Print_Area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Themis Kourtellas</dc:creator>
  <cp:lastModifiedBy>Amoako, Ebenezer</cp:lastModifiedBy>
  <cp:lastPrinted>2021-05-12T07:59:58Z</cp:lastPrinted>
  <dcterms:created xsi:type="dcterms:W3CDTF">2020-09-07T17:23:14Z</dcterms:created>
  <dcterms:modified xsi:type="dcterms:W3CDTF">2026-06-10T08:46:56Z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RiskLevel">
    <vt:lpwstr>Contains sensitive information</vt:lpwstr>
  </property>
  <property fmtid="{D5CDD505-2E9C-101B-9397-08002B2CF9AE}" pid="3" name="DocRiskLevelWizardText">
    <vt:lpwstr>Atkins Sensitive</vt:lpwstr>
  </property>
  <property fmtid="{D5CDD505-2E9C-101B-9397-08002B2CF9AE}" pid="4" name="DocRiskLevelWizardMarker">
    <vt:lpwstr>Contains sensitive information</vt:lpwstr>
  </property>
  <property fmtid="{D5CDD505-2E9C-101B-9397-08002B2CF9AE}" pid="5" name="ContentTypeId">
    <vt:lpwstr>0x0101005681A6497DA14249A29FF48DCEABA89A</vt:lpwstr>
  </property>
  <property fmtid="{D5CDD505-2E9C-101B-9397-08002B2CF9AE}" pid="6" name="Folder_Number">
    <vt:lpwstr/>
  </property>
  <property fmtid="{D5CDD505-2E9C-101B-9397-08002B2CF9AE}" pid="7" name="Folder_Code">
    <vt:lpwstr/>
  </property>
  <property fmtid="{D5CDD505-2E9C-101B-9397-08002B2CF9AE}" pid="8" name="Folder_Name">
    <vt:lpwstr/>
  </property>
  <property fmtid="{D5CDD505-2E9C-101B-9397-08002B2CF9AE}" pid="9" name="Folder_Description">
    <vt:lpwstr/>
  </property>
  <property fmtid="{D5CDD505-2E9C-101B-9397-08002B2CF9AE}" pid="10" name="/Folder_Name/">
    <vt:lpwstr/>
  </property>
  <property fmtid="{D5CDD505-2E9C-101B-9397-08002B2CF9AE}" pid="11" name="/Folder_Description/">
    <vt:lpwstr/>
  </property>
  <property fmtid="{D5CDD505-2E9C-101B-9397-08002B2CF9AE}" pid="12" name="Folder_Version">
    <vt:lpwstr/>
  </property>
  <property fmtid="{D5CDD505-2E9C-101B-9397-08002B2CF9AE}" pid="13" name="Folder_VersionSeq">
    <vt:lpwstr/>
  </property>
  <property fmtid="{D5CDD505-2E9C-101B-9397-08002B2CF9AE}" pid="14" name="Folder_Manager">
    <vt:lpwstr/>
  </property>
  <property fmtid="{D5CDD505-2E9C-101B-9397-08002B2CF9AE}" pid="15" name="Folder_ManagerDesc">
    <vt:lpwstr/>
  </property>
  <property fmtid="{D5CDD505-2E9C-101B-9397-08002B2CF9AE}" pid="16" name="Folder_Storage">
    <vt:lpwstr/>
  </property>
  <property fmtid="{D5CDD505-2E9C-101B-9397-08002B2CF9AE}" pid="17" name="Folder_StorageDesc">
    <vt:lpwstr/>
  </property>
  <property fmtid="{D5CDD505-2E9C-101B-9397-08002B2CF9AE}" pid="18" name="Folder_Creator">
    <vt:lpwstr/>
  </property>
  <property fmtid="{D5CDD505-2E9C-101B-9397-08002B2CF9AE}" pid="19" name="Folder_CreatorDesc">
    <vt:lpwstr/>
  </property>
  <property fmtid="{D5CDD505-2E9C-101B-9397-08002B2CF9AE}" pid="20" name="Folder_CreateDate">
    <vt:lpwstr/>
  </property>
  <property fmtid="{D5CDD505-2E9C-101B-9397-08002B2CF9AE}" pid="21" name="Folder_Updater">
    <vt:lpwstr/>
  </property>
  <property fmtid="{D5CDD505-2E9C-101B-9397-08002B2CF9AE}" pid="22" name="Folder_UpdaterDesc">
    <vt:lpwstr/>
  </property>
  <property fmtid="{D5CDD505-2E9C-101B-9397-08002B2CF9AE}" pid="23" name="Folder_UpdateDate">
    <vt:lpwstr/>
  </property>
  <property fmtid="{D5CDD505-2E9C-101B-9397-08002B2CF9AE}" pid="24" name="Document_Number">
    <vt:lpwstr/>
  </property>
  <property fmtid="{D5CDD505-2E9C-101B-9397-08002B2CF9AE}" pid="25" name="Document_Name">
    <vt:lpwstr/>
  </property>
  <property fmtid="{D5CDD505-2E9C-101B-9397-08002B2CF9AE}" pid="26" name="Document_FileName">
    <vt:lpwstr/>
  </property>
  <property fmtid="{D5CDD505-2E9C-101B-9397-08002B2CF9AE}" pid="27" name="Document_Version">
    <vt:lpwstr/>
  </property>
  <property fmtid="{D5CDD505-2E9C-101B-9397-08002B2CF9AE}" pid="28" name="Document_VersionSeq">
    <vt:lpwstr/>
  </property>
  <property fmtid="{D5CDD505-2E9C-101B-9397-08002B2CF9AE}" pid="29" name="Document_Creator">
    <vt:lpwstr/>
  </property>
  <property fmtid="{D5CDD505-2E9C-101B-9397-08002B2CF9AE}" pid="30" name="Document_CreatorDesc">
    <vt:lpwstr/>
  </property>
  <property fmtid="{D5CDD505-2E9C-101B-9397-08002B2CF9AE}" pid="31" name="Document_CreateDate">
    <vt:lpwstr/>
  </property>
  <property fmtid="{D5CDD505-2E9C-101B-9397-08002B2CF9AE}" pid="32" name="Document_Updater">
    <vt:lpwstr/>
  </property>
  <property fmtid="{D5CDD505-2E9C-101B-9397-08002B2CF9AE}" pid="33" name="Document_UpdaterDesc">
    <vt:lpwstr/>
  </property>
  <property fmtid="{D5CDD505-2E9C-101B-9397-08002B2CF9AE}" pid="34" name="Document_UpdateDate">
    <vt:lpwstr/>
  </property>
  <property fmtid="{D5CDD505-2E9C-101B-9397-08002B2CF9AE}" pid="35" name="Document_Size">
    <vt:lpwstr/>
  </property>
  <property fmtid="{D5CDD505-2E9C-101B-9397-08002B2CF9AE}" pid="36" name="Document_Storage">
    <vt:lpwstr/>
  </property>
  <property fmtid="{D5CDD505-2E9C-101B-9397-08002B2CF9AE}" pid="37" name="Document_StorageDesc">
    <vt:lpwstr/>
  </property>
  <property fmtid="{D5CDD505-2E9C-101B-9397-08002B2CF9AE}" pid="38" name="Document_Department">
    <vt:lpwstr/>
  </property>
  <property fmtid="{D5CDD505-2E9C-101B-9397-08002B2CF9AE}" pid="39" name="Document_DepartmentDesc">
    <vt:lpwstr/>
  </property>
</Properties>
</file>